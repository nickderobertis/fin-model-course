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Dropbox\UF\Teaching\Modeling\Me\repos\fin-model-course\models\Project2\project2\"/>
    </mc:Choice>
  </mc:AlternateContent>
  <xr:revisionPtr revIDLastSave="0" documentId="13_ncr:1_{CDCA36CA-9CAE-4B47-9A1C-DA61A8543D40}" xr6:coauthVersionLast="45" xr6:coauthVersionMax="45" xr10:uidLastSave="{00000000-0000-0000-0000-000000000000}"/>
  <bookViews>
    <workbookView xWindow="4815" yWindow="1200" windowWidth="21600" windowHeight="11385" tabRatio="500" xr2:uid="{00000000-000D-0000-FFFF-FFFF00000000}"/>
  </bookViews>
  <sheets>
    <sheet name="Inputs and Outputs" sheetId="1" r:id="rId1"/>
    <sheet name="Trials" sheetId="5" r:id="rId2"/>
    <sheet name="Default" sheetId="3" r:id="rId3"/>
    <sheet name="Cash Flows" sheetId="4" r:id="rId4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cash_flows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The top cell of defaults, excluding header</x14:argumentDescription>
            <x14:argumentDescription index="5">The top cell of repayments, excluding header</x14:argumentDescription>
            <x14:argumentDescription index="6">The top cell of recoveries, excluding header</x14:argumentDescription>
          </x14:argumentDescriptions>
        </x14:definedName>
        <x14:definedName name="default_probabilities">
          <x14:argumentDescriptions count="4">
            <x14:argumentDescription index="0">The number of years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has_default_and_repayment_years">
          <x14:argumentDescriptions count="2">
            <x14:argumentDescription index="0">The number of years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n_years_array">
          <x14:argumentDescriptions count="1">
            <x14:argumentDescription index="0">The number of years</x14:argumentDescription>
          </x14:argumentDescriptions>
        </x14:definedName>
        <x14:definedName name="print_table">
          <x14:argumentDescriptions count="1">
            <x14:argumentDescription index="0">The top left cell of your data, including headers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3" l="1"/>
  <c r="D12" i="4" a="1"/>
  <c r="D12" i="4" l="1"/>
  <c r="E13" i="4"/>
  <c r="F14" i="4"/>
  <c r="D16" i="4"/>
  <c r="E17" i="4"/>
  <c r="F18" i="4"/>
  <c r="D20" i="4"/>
  <c r="E19" i="4"/>
  <c r="E12" i="4"/>
  <c r="F13" i="4"/>
  <c r="D15" i="4"/>
  <c r="E16" i="4"/>
  <c r="F17" i="4"/>
  <c r="D19" i="4"/>
  <c r="E20" i="4"/>
  <c r="D18" i="4"/>
  <c r="F20" i="4"/>
  <c r="D13" i="4"/>
  <c r="E14" i="4"/>
  <c r="F15" i="4"/>
  <c r="D17" i="4"/>
  <c r="E18" i="4"/>
  <c r="F19" i="4"/>
  <c r="F12" i="4"/>
  <c r="D14" i="4"/>
  <c r="E15" i="4"/>
  <c r="F16" i="4"/>
  <c r="B5" i="4"/>
  <c r="B16" i="1"/>
  <c r="B5" i="3" l="1"/>
  <c r="B4" i="3"/>
  <c r="B3" i="3"/>
  <c r="B2" i="4"/>
  <c r="B4" i="4"/>
  <c r="B3" i="4"/>
  <c r="A4" i="4"/>
  <c r="A3" i="4"/>
  <c r="A2" i="4"/>
  <c r="A2" i="3"/>
  <c r="A4" i="3"/>
  <c r="A5" i="3"/>
  <c r="A3" i="3"/>
  <c r="D11" i="3" a="1"/>
  <c r="E11" i="3" a="1"/>
  <c r="B13" i="4" a="1"/>
  <c r="B14" i="4" l="1"/>
  <c r="B15" i="4"/>
  <c r="B16" i="4"/>
  <c r="B13" i="4"/>
  <c r="B17" i="4"/>
  <c r="B18" i="4"/>
  <c r="B19" i="4"/>
  <c r="B20" i="4"/>
  <c r="D17" i="3"/>
  <c r="D18" i="3"/>
  <c r="D11" i="3"/>
  <c r="D15" i="3"/>
  <c r="D12" i="3"/>
  <c r="D16" i="3"/>
  <c r="D13" i="3"/>
  <c r="D14" i="3"/>
  <c r="E16" i="3"/>
  <c r="E15" i="3"/>
  <c r="E14" i="3"/>
  <c r="E11" i="3"/>
  <c r="E12" i="3"/>
  <c r="E13" i="3"/>
  <c r="F10" i="3" a="1"/>
  <c r="F10" i="3" l="1"/>
  <c r="H17" i="3"/>
  <c r="G16" i="3"/>
  <c r="F15" i="3"/>
  <c r="G10" i="3"/>
  <c r="H16" i="3"/>
  <c r="G15" i="3"/>
  <c r="F14" i="3"/>
  <c r="H10" i="3"/>
  <c r="H15" i="3"/>
  <c r="G14" i="3"/>
  <c r="F13" i="3"/>
  <c r="F11" i="3"/>
  <c r="H14" i="3"/>
  <c r="G13" i="3"/>
  <c r="H11" i="3"/>
  <c r="H13" i="3"/>
  <c r="G12" i="3"/>
  <c r="G11" i="3"/>
  <c r="H12" i="3"/>
  <c r="F18" i="3"/>
  <c r="F12" i="3"/>
  <c r="G18" i="3"/>
  <c r="F17" i="3"/>
  <c r="H18" i="3"/>
  <c r="G17" i="3"/>
  <c r="F16" i="3"/>
  <c r="H13" i="4" l="1" a="1"/>
  <c r="H17" i="4" l="1"/>
  <c r="H20" i="4"/>
  <c r="H16" i="4"/>
  <c r="H18" i="4"/>
  <c r="H15" i="4"/>
  <c r="H19" i="4"/>
  <c r="H14" i="4"/>
  <c r="H13" i="4"/>
  <c r="B10" i="4"/>
  <c r="B15" i="1" s="1"/>
</calcChain>
</file>

<file path=xl/sharedStrings.xml><?xml version="1.0" encoding="utf-8"?>
<sst xmlns="http://schemas.openxmlformats.org/spreadsheetml/2006/main" count="26" uniqueCount="21">
  <si>
    <t>Inputs</t>
  </si>
  <si>
    <t>Price of Machine</t>
  </si>
  <si>
    <t>Loan Life</t>
  </si>
  <si>
    <t>Initial Default Probability</t>
  </si>
  <si>
    <t>Decay of Default Probability</t>
  </si>
  <si>
    <t>Final Default Probability</t>
  </si>
  <si>
    <t>Recovery Rate</t>
  </si>
  <si>
    <t>Outputs</t>
  </si>
  <si>
    <t>Minimum Interest Rate</t>
  </si>
  <si>
    <t>Year</t>
  </si>
  <si>
    <t>Default Prob</t>
  </si>
  <si>
    <t>Note: default, repayment, recovery from Default tab</t>
  </si>
  <si>
    <t>Cash Flow</t>
  </si>
  <si>
    <t>IRR</t>
  </si>
  <si>
    <t>Trial Inputs</t>
  </si>
  <si>
    <t>Expected IRR</t>
  </si>
  <si>
    <t>IRR (this run)</t>
  </si>
  <si>
    <t>Interest Rate</t>
  </si>
  <si>
    <t>IRR Table by Offered Interest Rate and Initial Default Probability</t>
  </si>
  <si>
    <t>Offered Rate</t>
  </si>
  <si>
    <t>Number of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</si>
</sst>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9" fontId="0" fillId="0" borderId="0" xfId="1" applyFont="1"/>
    <xf numFmtId="9" fontId="0" fillId="0" borderId="0" xfId="0" applyNumberFormat="1"/>
    <xf numFmtId="0" fontId="0" fillId="0" borderId="0" xfId="1" applyNumberFormat="1" applyFont="1"/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</xdr:row>
          <xdr:rowOff>28575</xdr:rowOff>
        </xdr:from>
        <xdr:to>
          <xdr:col>5</xdr:col>
          <xdr:colOff>123825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Run Model Trials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tabSelected="1" workbookViewId="0">
      <selection activeCell="C7" sqref="C7"/>
    </sheetView>
  </sheetViews>
  <sheetFormatPr defaultColWidth="11" defaultRowHeight="15.75" x14ac:dyDescent="0.25"/>
  <cols>
    <col min="1" max="1" width="24" bestFit="1" customWidth="1"/>
  </cols>
  <sheetData>
    <row r="1" spans="1:2" x14ac:dyDescent="0.25">
      <c r="A1" s="4" t="s">
        <v>0</v>
      </c>
      <c r="B1" s="4"/>
    </row>
    <row r="2" spans="1:2" x14ac:dyDescent="0.25">
      <c r="A2" t="s">
        <v>1</v>
      </c>
      <c r="B2">
        <v>1000000</v>
      </c>
    </row>
    <row r="3" spans="1:2" x14ac:dyDescent="0.25">
      <c r="A3" t="s">
        <v>2</v>
      </c>
      <c r="B3">
        <v>5</v>
      </c>
    </row>
    <row r="4" spans="1:2" x14ac:dyDescent="0.25">
      <c r="A4" t="s">
        <v>3</v>
      </c>
      <c r="B4" s="1">
        <v>0.3</v>
      </c>
    </row>
    <row r="5" spans="1:2" x14ac:dyDescent="0.25">
      <c r="A5" t="s">
        <v>4</v>
      </c>
      <c r="B5" s="1">
        <v>0.9</v>
      </c>
    </row>
    <row r="6" spans="1:2" x14ac:dyDescent="0.25">
      <c r="A6" t="s">
        <v>5</v>
      </c>
      <c r="B6" s="1">
        <v>0.4</v>
      </c>
    </row>
    <row r="7" spans="1:2" x14ac:dyDescent="0.25">
      <c r="A7" t="s">
        <v>6</v>
      </c>
      <c r="B7" s="1">
        <v>0.4</v>
      </c>
    </row>
    <row r="8" spans="1:2" x14ac:dyDescent="0.25">
      <c r="A8" t="s">
        <v>17</v>
      </c>
      <c r="B8" s="1">
        <v>0.2</v>
      </c>
    </row>
    <row r="9" spans="1:2" x14ac:dyDescent="0.25">
      <c r="B9" s="1"/>
    </row>
    <row r="10" spans="1:2" x14ac:dyDescent="0.25">
      <c r="A10" t="s">
        <v>14</v>
      </c>
      <c r="B10" s="1"/>
    </row>
    <row r="11" spans="1:2" x14ac:dyDescent="0.25">
      <c r="A11" t="s">
        <v>20</v>
      </c>
      <c r="B11" s="3">
        <v>100</v>
      </c>
    </row>
    <row r="14" spans="1:2" x14ac:dyDescent="0.25">
      <c r="A14" t="s">
        <v>7</v>
      </c>
    </row>
    <row r="15" spans="1:2" x14ac:dyDescent="0.25">
      <c r="A15" t="s">
        <v>16</v>
      </c>
      <c r="B15" s="2">
        <f>'Cash Flows'!B10</f>
        <v>-0.26319370027192257</v>
      </c>
    </row>
    <row r="16" spans="1:2" x14ac:dyDescent="0.25">
      <c r="A16" t="s">
        <v>15</v>
      </c>
      <c r="B16" s="2">
        <f>AVERAGE(Trials!A:A)</f>
        <v>-8.5416576693161106E-2</v>
      </c>
    </row>
    <row r="18" spans="1:5" x14ac:dyDescent="0.25">
      <c r="A18" t="s">
        <v>18</v>
      </c>
    </row>
    <row r="19" spans="1:5" x14ac:dyDescent="0.25">
      <c r="B19" t="s">
        <v>3</v>
      </c>
    </row>
    <row r="20" spans="1:5" x14ac:dyDescent="0.25">
      <c r="A20" t="s">
        <v>19</v>
      </c>
      <c r="B20" s="2">
        <v>0.2</v>
      </c>
      <c r="C20" s="2">
        <v>0.3</v>
      </c>
      <c r="E20" s="2"/>
    </row>
    <row r="21" spans="1:5" x14ac:dyDescent="0.25">
      <c r="A21" s="2">
        <v>0.2</v>
      </c>
      <c r="B21" s="2">
        <v>-0.03</v>
      </c>
      <c r="C21" s="2">
        <v>-0.09</v>
      </c>
    </row>
    <row r="22" spans="1:5" x14ac:dyDescent="0.25">
      <c r="A22" s="2">
        <v>0.22</v>
      </c>
    </row>
    <row r="23" spans="1:5" x14ac:dyDescent="0.25">
      <c r="A23" s="2">
        <v>0.24</v>
      </c>
    </row>
    <row r="24" spans="1:5" x14ac:dyDescent="0.25">
      <c r="A24" s="2">
        <v>0.26</v>
      </c>
    </row>
    <row r="25" spans="1:5" x14ac:dyDescent="0.25">
      <c r="A25" s="2">
        <v>0.28000000000000003</v>
      </c>
    </row>
    <row r="26" spans="1:5" x14ac:dyDescent="0.25">
      <c r="A26" s="2">
        <v>0.3</v>
      </c>
      <c r="B26" s="2">
        <v>0.05</v>
      </c>
    </row>
    <row r="27" spans="1:5" x14ac:dyDescent="0.25">
      <c r="A27" s="2">
        <v>0.32</v>
      </c>
    </row>
    <row r="28" spans="1:5" x14ac:dyDescent="0.25">
      <c r="A28" s="2">
        <v>0.34</v>
      </c>
    </row>
    <row r="29" spans="1:5" x14ac:dyDescent="0.25">
      <c r="A29" s="2">
        <v>0.36</v>
      </c>
    </row>
    <row r="30" spans="1:5" x14ac:dyDescent="0.25">
      <c r="A30" s="2">
        <v>0.38</v>
      </c>
    </row>
    <row r="31" spans="1:5" x14ac:dyDescent="0.25">
      <c r="A31" s="2">
        <v>0.4</v>
      </c>
      <c r="B31" s="2">
        <v>0.13</v>
      </c>
      <c r="C31" s="2">
        <v>0</v>
      </c>
    </row>
  </sheetData>
  <mergeCells count="1">
    <mergeCell ref="A1:B1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WorkbookCollectOutputs">
                <anchor moveWithCells="1" sizeWithCells="1">
                  <from>
                    <xdr:col>3</xdr:col>
                    <xdr:colOff>66675</xdr:colOff>
                    <xdr:row>1</xdr:row>
                    <xdr:rowOff>28575</xdr:rowOff>
                  </from>
                  <to>
                    <xdr:col>5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100"/>
  <sheetViews>
    <sheetView workbookViewId="0">
      <selection activeCell="B23" sqref="B23"/>
    </sheetView>
  </sheetViews>
  <sheetFormatPr defaultRowHeight="15.75" x14ac:dyDescent="0.25"/>
  <sheetData>
    <row r="1" spans="1:1" x14ac:dyDescent="0.25">
      <c r="A1">
        <v>-0.26319370027192257</v>
      </c>
    </row>
    <row r="2" spans="1:1" x14ac:dyDescent="0.25">
      <c r="A2">
        <v>-0.26319370027192257</v>
      </c>
    </row>
    <row r="3" spans="1:1" x14ac:dyDescent="0.25">
      <c r="A3">
        <v>0.19999999999999996</v>
      </c>
    </row>
    <row r="4" spans="1:1" x14ac:dyDescent="0.25">
      <c r="A4">
        <v>-0.26319370027192257</v>
      </c>
    </row>
    <row r="5" spans="1:1" x14ac:dyDescent="0.25">
      <c r="A5">
        <v>-0.26319370027192257</v>
      </c>
    </row>
    <row r="6" spans="1:1" x14ac:dyDescent="0.25">
      <c r="A6">
        <v>2.2204460492503131E-16</v>
      </c>
    </row>
    <row r="7" spans="1:1" x14ac:dyDescent="0.25">
      <c r="A7">
        <v>-0.14959558862329614</v>
      </c>
    </row>
    <row r="8" spans="1:1" x14ac:dyDescent="0.25">
      <c r="A8">
        <v>4.8164465754911623E-2</v>
      </c>
    </row>
    <row r="9" spans="1:1" x14ac:dyDescent="0.25">
      <c r="A9">
        <v>4.8164465754911623E-2</v>
      </c>
    </row>
    <row r="10" spans="1:1" x14ac:dyDescent="0.25">
      <c r="A10">
        <v>-0.26319370027192257</v>
      </c>
    </row>
    <row r="11" spans="1:1" x14ac:dyDescent="0.25">
      <c r="A11">
        <v>4.8164465754911623E-2</v>
      </c>
    </row>
    <row r="12" spans="1:1" x14ac:dyDescent="0.25">
      <c r="A12">
        <v>-0.14959558862329614</v>
      </c>
    </row>
    <row r="13" spans="1:1" x14ac:dyDescent="0.25">
      <c r="A13">
        <v>-0.26319370027192257</v>
      </c>
    </row>
    <row r="14" spans="1:1" x14ac:dyDescent="0.25">
      <c r="A14">
        <v>-0.26319370027192257</v>
      </c>
    </row>
    <row r="15" spans="1:1" x14ac:dyDescent="0.25">
      <c r="A15">
        <v>-6.4341911166309051E-2</v>
      </c>
    </row>
    <row r="16" spans="1:1" x14ac:dyDescent="0.25">
      <c r="A16">
        <v>-0.14959558862329614</v>
      </c>
    </row>
    <row r="17" spans="1:1" x14ac:dyDescent="0.25">
      <c r="A17">
        <v>-0.14959558862329614</v>
      </c>
    </row>
    <row r="18" spans="1:1" x14ac:dyDescent="0.25">
      <c r="A18">
        <v>0.19999999999999996</v>
      </c>
    </row>
    <row r="19" spans="1:1" x14ac:dyDescent="0.25">
      <c r="A19">
        <v>-0.14959558862329614</v>
      </c>
    </row>
    <row r="20" spans="1:1" x14ac:dyDescent="0.25">
      <c r="A20">
        <v>4.8164465754911623E-2</v>
      </c>
    </row>
    <row r="21" spans="1:1" x14ac:dyDescent="0.25">
      <c r="A21">
        <v>-0.26319370027192257</v>
      </c>
    </row>
    <row r="22" spans="1:1" x14ac:dyDescent="0.25">
      <c r="A22">
        <v>0.19999999999999996</v>
      </c>
    </row>
    <row r="23" spans="1:1" x14ac:dyDescent="0.25">
      <c r="A23">
        <v>-6.4341911166309051E-2</v>
      </c>
    </row>
    <row r="24" spans="1:1" x14ac:dyDescent="0.25">
      <c r="A24">
        <v>4.8164465754911623E-2</v>
      </c>
    </row>
    <row r="25" spans="1:1" x14ac:dyDescent="0.25">
      <c r="A25">
        <v>-0.26319370027192257</v>
      </c>
    </row>
    <row r="26" spans="1:1" x14ac:dyDescent="0.25">
      <c r="A26">
        <v>-6.4341911166309051E-2</v>
      </c>
    </row>
    <row r="27" spans="1:1" x14ac:dyDescent="0.25">
      <c r="A27">
        <v>-0.26319370027192257</v>
      </c>
    </row>
    <row r="28" spans="1:1" x14ac:dyDescent="0.25">
      <c r="A28">
        <v>-0.26319370027192257</v>
      </c>
    </row>
    <row r="29" spans="1:1" x14ac:dyDescent="0.25">
      <c r="A29">
        <v>-0.26319370027192257</v>
      </c>
    </row>
    <row r="30" spans="1:1" x14ac:dyDescent="0.25">
      <c r="A30">
        <v>0.19999999999999996</v>
      </c>
    </row>
    <row r="31" spans="1:1" x14ac:dyDescent="0.25">
      <c r="A31">
        <v>2.2204460492503131E-16</v>
      </c>
    </row>
    <row r="32" spans="1:1" x14ac:dyDescent="0.25">
      <c r="A32">
        <v>4.8164465754911623E-2</v>
      </c>
    </row>
    <row r="33" spans="1:1" x14ac:dyDescent="0.25">
      <c r="A33">
        <v>-0.14959558862329614</v>
      </c>
    </row>
    <row r="34" spans="1:1" x14ac:dyDescent="0.25">
      <c r="A34">
        <v>2.2204460492503131E-16</v>
      </c>
    </row>
    <row r="35" spans="1:1" x14ac:dyDescent="0.25">
      <c r="A35">
        <v>0.19999999999999996</v>
      </c>
    </row>
    <row r="36" spans="1:1" x14ac:dyDescent="0.25">
      <c r="A36">
        <v>-6.4341911166309051E-2</v>
      </c>
    </row>
    <row r="37" spans="1:1" x14ac:dyDescent="0.25">
      <c r="A37">
        <v>-0.26319370027192257</v>
      </c>
    </row>
    <row r="38" spans="1:1" x14ac:dyDescent="0.25">
      <c r="A38">
        <v>-6.4341911166309051E-2</v>
      </c>
    </row>
    <row r="39" spans="1:1" x14ac:dyDescent="0.25">
      <c r="A39">
        <v>2.2204460492503131E-16</v>
      </c>
    </row>
    <row r="40" spans="1:1" x14ac:dyDescent="0.25">
      <c r="A40">
        <v>-0.26319370027192257</v>
      </c>
    </row>
    <row r="41" spans="1:1" x14ac:dyDescent="0.25">
      <c r="A41">
        <v>-0.14959558862329614</v>
      </c>
    </row>
    <row r="42" spans="1:1" x14ac:dyDescent="0.25">
      <c r="A42">
        <v>2.2204460492503131E-16</v>
      </c>
    </row>
    <row r="43" spans="1:1" x14ac:dyDescent="0.25">
      <c r="A43">
        <v>2.2204460492503131E-16</v>
      </c>
    </row>
    <row r="44" spans="1:1" x14ac:dyDescent="0.25">
      <c r="A44">
        <v>0.19999999999999996</v>
      </c>
    </row>
    <row r="45" spans="1:1" x14ac:dyDescent="0.25">
      <c r="A45">
        <v>2.2204460492503131E-16</v>
      </c>
    </row>
    <row r="46" spans="1:1" x14ac:dyDescent="0.25">
      <c r="A46">
        <v>-0.26319370027192257</v>
      </c>
    </row>
    <row r="47" spans="1:1" x14ac:dyDescent="0.25">
      <c r="A47">
        <v>2.2204460492503131E-16</v>
      </c>
    </row>
    <row r="48" spans="1:1" x14ac:dyDescent="0.25">
      <c r="A48">
        <v>4.8164465754911623E-2</v>
      </c>
    </row>
    <row r="49" spans="1:1" x14ac:dyDescent="0.25">
      <c r="A49">
        <v>-0.26319370027192257</v>
      </c>
    </row>
    <row r="50" spans="1:1" x14ac:dyDescent="0.25">
      <c r="A50">
        <v>-0.14959558862329614</v>
      </c>
    </row>
    <row r="51" spans="1:1" x14ac:dyDescent="0.25">
      <c r="A51">
        <v>-0.14959558862329614</v>
      </c>
    </row>
    <row r="52" spans="1:1" x14ac:dyDescent="0.25">
      <c r="A52">
        <v>-0.14959558862329614</v>
      </c>
    </row>
    <row r="53" spans="1:1" x14ac:dyDescent="0.25">
      <c r="A53">
        <v>0.19999999999999996</v>
      </c>
    </row>
    <row r="54" spans="1:1" x14ac:dyDescent="0.25">
      <c r="A54">
        <v>-0.26319370027192257</v>
      </c>
    </row>
    <row r="55" spans="1:1" x14ac:dyDescent="0.25">
      <c r="A55">
        <v>4.8164465754911623E-2</v>
      </c>
    </row>
    <row r="56" spans="1:1" x14ac:dyDescent="0.25">
      <c r="A56">
        <v>-0.14959558862329614</v>
      </c>
    </row>
    <row r="57" spans="1:1" x14ac:dyDescent="0.25">
      <c r="A57">
        <v>-0.26319370027192257</v>
      </c>
    </row>
    <row r="58" spans="1:1" x14ac:dyDescent="0.25">
      <c r="A58">
        <v>-0.26319370027192257</v>
      </c>
    </row>
    <row r="59" spans="1:1" x14ac:dyDescent="0.25">
      <c r="A59">
        <v>0.19999999999999996</v>
      </c>
    </row>
    <row r="60" spans="1:1" x14ac:dyDescent="0.25">
      <c r="A60">
        <v>0.19999999999999996</v>
      </c>
    </row>
    <row r="61" spans="1:1" x14ac:dyDescent="0.25">
      <c r="A61">
        <v>0.19999999999999996</v>
      </c>
    </row>
    <row r="62" spans="1:1" x14ac:dyDescent="0.25">
      <c r="A62">
        <v>0.19999999999999996</v>
      </c>
    </row>
    <row r="63" spans="1:1" x14ac:dyDescent="0.25">
      <c r="A63">
        <v>-0.26319370027192257</v>
      </c>
    </row>
    <row r="64" spans="1:1" x14ac:dyDescent="0.25">
      <c r="A64">
        <v>-0.26319370027192257</v>
      </c>
    </row>
    <row r="65" spans="1:1" x14ac:dyDescent="0.25">
      <c r="A65">
        <v>-0.26319370027192257</v>
      </c>
    </row>
    <row r="66" spans="1:1" x14ac:dyDescent="0.25">
      <c r="A66">
        <v>-0.26319370027192257</v>
      </c>
    </row>
    <row r="67" spans="1:1" x14ac:dyDescent="0.25">
      <c r="A67">
        <v>0.19999999999999996</v>
      </c>
    </row>
    <row r="68" spans="1:1" x14ac:dyDescent="0.25">
      <c r="A68">
        <v>-6.4341911166309051E-2</v>
      </c>
    </row>
    <row r="69" spans="1:1" x14ac:dyDescent="0.25">
      <c r="A69">
        <v>-0.26319370027192257</v>
      </c>
    </row>
    <row r="70" spans="1:1" x14ac:dyDescent="0.25">
      <c r="A70">
        <v>4.8164465754911623E-2</v>
      </c>
    </row>
    <row r="71" spans="1:1" x14ac:dyDescent="0.25">
      <c r="A71">
        <v>-0.14959558862329614</v>
      </c>
    </row>
    <row r="72" spans="1:1" x14ac:dyDescent="0.25">
      <c r="A72">
        <v>0.19999999999999996</v>
      </c>
    </row>
    <row r="73" spans="1:1" x14ac:dyDescent="0.25">
      <c r="A73">
        <v>-0.26319370027192257</v>
      </c>
    </row>
    <row r="74" spans="1:1" x14ac:dyDescent="0.25">
      <c r="A74">
        <v>-0.26319370027192257</v>
      </c>
    </row>
    <row r="75" spans="1:1" x14ac:dyDescent="0.25">
      <c r="A75">
        <v>-0.26319370027192257</v>
      </c>
    </row>
    <row r="76" spans="1:1" x14ac:dyDescent="0.25">
      <c r="A76">
        <v>-0.14959558862329614</v>
      </c>
    </row>
    <row r="77" spans="1:1" x14ac:dyDescent="0.25">
      <c r="A77">
        <v>-6.4341911166309051E-2</v>
      </c>
    </row>
    <row r="78" spans="1:1" x14ac:dyDescent="0.25">
      <c r="A78">
        <v>-6.4341911166309051E-2</v>
      </c>
    </row>
    <row r="79" spans="1:1" x14ac:dyDescent="0.25">
      <c r="A79">
        <v>-0.26319370027192257</v>
      </c>
    </row>
    <row r="80" spans="1:1" x14ac:dyDescent="0.25">
      <c r="A80">
        <v>-0.14959558862329614</v>
      </c>
    </row>
    <row r="81" spans="1:1" x14ac:dyDescent="0.25">
      <c r="A81">
        <v>-0.14959558862329614</v>
      </c>
    </row>
    <row r="82" spans="1:1" x14ac:dyDescent="0.25">
      <c r="A82">
        <v>0.19999999999999996</v>
      </c>
    </row>
    <row r="83" spans="1:1" x14ac:dyDescent="0.25">
      <c r="A83">
        <v>-0.26319370027192257</v>
      </c>
    </row>
    <row r="84" spans="1:1" x14ac:dyDescent="0.25">
      <c r="A84">
        <v>-0.14959558862329614</v>
      </c>
    </row>
    <row r="85" spans="1:1" x14ac:dyDescent="0.25">
      <c r="A85">
        <v>-0.14959558862329614</v>
      </c>
    </row>
    <row r="86" spans="1:1" x14ac:dyDescent="0.25">
      <c r="A86">
        <v>4.8164465754911623E-2</v>
      </c>
    </row>
    <row r="87" spans="1:1" x14ac:dyDescent="0.25">
      <c r="A87">
        <v>0.19999999999999996</v>
      </c>
    </row>
    <row r="88" spans="1:1" x14ac:dyDescent="0.25">
      <c r="A88">
        <v>-6.4341911166309051E-2</v>
      </c>
    </row>
    <row r="89" spans="1:1" x14ac:dyDescent="0.25">
      <c r="A89">
        <v>-0.26319370027192257</v>
      </c>
    </row>
    <row r="90" spans="1:1" x14ac:dyDescent="0.25">
      <c r="A90">
        <v>-0.14959558862329614</v>
      </c>
    </row>
    <row r="91" spans="1:1" x14ac:dyDescent="0.25">
      <c r="A91">
        <v>2.2204460492503131E-16</v>
      </c>
    </row>
    <row r="92" spans="1:1" x14ac:dyDescent="0.25">
      <c r="A92">
        <v>-0.14959558862329614</v>
      </c>
    </row>
    <row r="93" spans="1:1" x14ac:dyDescent="0.25">
      <c r="A93">
        <v>-6.4341911166309051E-2</v>
      </c>
    </row>
    <row r="94" spans="1:1" x14ac:dyDescent="0.25">
      <c r="A94">
        <v>-0.14959558862329614</v>
      </c>
    </row>
    <row r="95" spans="1:1" x14ac:dyDescent="0.25">
      <c r="A95">
        <v>0.19999999999999996</v>
      </c>
    </row>
    <row r="96" spans="1:1" x14ac:dyDescent="0.25">
      <c r="A96">
        <v>-0.26319370027192257</v>
      </c>
    </row>
    <row r="97" spans="1:1" x14ac:dyDescent="0.25">
      <c r="A97">
        <v>4.8164465754911623E-2</v>
      </c>
    </row>
    <row r="98" spans="1:1" x14ac:dyDescent="0.25">
      <c r="A98">
        <v>-0.26319370027192257</v>
      </c>
    </row>
    <row r="99" spans="1:1" x14ac:dyDescent="0.25">
      <c r="A99">
        <v>-0.14959558862329614</v>
      </c>
    </row>
    <row r="100" spans="1:1" x14ac:dyDescent="0.25">
      <c r="A100">
        <v>-6.4341911166309051E-2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8"/>
  <sheetViews>
    <sheetView workbookViewId="0">
      <selection activeCell="E6" sqref="E6"/>
    </sheetView>
  </sheetViews>
  <sheetFormatPr defaultRowHeight="15.75" x14ac:dyDescent="0.25"/>
  <cols>
    <col min="1" max="1" width="24" bestFit="1" customWidth="1"/>
    <col min="2" max="2" width="4.25" bestFit="1" customWidth="1"/>
  </cols>
  <sheetData>
    <row r="1" spans="1:8" x14ac:dyDescent="0.25">
      <c r="A1" t="s">
        <v>0</v>
      </c>
    </row>
    <row r="2" spans="1:8" x14ac:dyDescent="0.25">
      <c r="A2" t="str">
        <f>'Inputs and Outputs'!A3</f>
        <v>Loan Life</v>
      </c>
      <c r="B2">
        <f>'Inputs and Outputs'!B3</f>
        <v>5</v>
      </c>
    </row>
    <row r="3" spans="1:8" x14ac:dyDescent="0.25">
      <c r="A3" t="str">
        <f>'Inputs and Outputs'!A4</f>
        <v>Initial Default Probability</v>
      </c>
      <c r="B3" s="1">
        <f>'Inputs and Outputs'!B4</f>
        <v>0.3</v>
      </c>
    </row>
    <row r="4" spans="1:8" x14ac:dyDescent="0.25">
      <c r="A4" t="str">
        <f>'Inputs and Outputs'!A5</f>
        <v>Decay of Default Probability</v>
      </c>
      <c r="B4" s="1">
        <f>'Inputs and Outputs'!B5</f>
        <v>0.9</v>
      </c>
    </row>
    <row r="5" spans="1:8" x14ac:dyDescent="0.25">
      <c r="A5" t="str">
        <f>'Inputs and Outputs'!A6</f>
        <v>Final Default Probability</v>
      </c>
      <c r="B5" s="1">
        <f>'Inputs and Outputs'!B6</f>
        <v>0.4</v>
      </c>
    </row>
    <row r="6" spans="1:8" x14ac:dyDescent="0.25">
      <c r="B6" s="1"/>
    </row>
    <row r="7" spans="1:8" x14ac:dyDescent="0.25">
      <c r="B7" s="1"/>
    </row>
    <row r="8" spans="1:8" x14ac:dyDescent="0.25">
      <c r="B8" s="1"/>
    </row>
    <row r="10" spans="1:8" x14ac:dyDescent="0.25">
      <c r="D10" t="s">
        <v>9</v>
      </c>
      <c r="E10" t="s">
        <v>10</v>
      </c>
      <c r="F10" t="str">
        <f t="array" ref="F10:H18">has_default_and_repayment_years(B2,E11:E16)</f>
        <v>In Default Period</v>
      </c>
      <c r="G10" t="str">
        <v>Repayment Period</v>
      </c>
      <c r="H10" t="str">
        <v>Recovery Period</v>
      </c>
    </row>
    <row r="11" spans="1:8" x14ac:dyDescent="0.25">
      <c r="D11">
        <f t="array" ref="D11:D18">n_years_array(B2)</f>
        <v>0</v>
      </c>
      <c r="E11" s="1">
        <f t="array" ref="E11:E16">default_probabilities(B2,B3,B4,B5)</f>
        <v>0</v>
      </c>
      <c r="F11">
        <v>0</v>
      </c>
      <c r="G11">
        <v>0</v>
      </c>
      <c r="H11">
        <v>0</v>
      </c>
    </row>
    <row r="12" spans="1:8" x14ac:dyDescent="0.25">
      <c r="D12">
        <v>1</v>
      </c>
      <c r="E12" s="1">
        <v>0.3</v>
      </c>
      <c r="F12">
        <v>1</v>
      </c>
      <c r="G12">
        <v>0</v>
      </c>
      <c r="H12">
        <v>0</v>
      </c>
    </row>
    <row r="13" spans="1:8" x14ac:dyDescent="0.25">
      <c r="D13">
        <v>2</v>
      </c>
      <c r="E13" s="1">
        <v>0.27</v>
      </c>
      <c r="F13">
        <v>0</v>
      </c>
      <c r="G13">
        <v>0</v>
      </c>
      <c r="H13">
        <v>0</v>
      </c>
    </row>
    <row r="14" spans="1:8" x14ac:dyDescent="0.25">
      <c r="D14">
        <v>3</v>
      </c>
      <c r="E14" s="1">
        <v>0.24300000000000002</v>
      </c>
      <c r="F14">
        <v>0</v>
      </c>
      <c r="G14">
        <v>0</v>
      </c>
      <c r="H14">
        <v>1</v>
      </c>
    </row>
    <row r="15" spans="1:8" x14ac:dyDescent="0.25">
      <c r="D15">
        <v>4</v>
      </c>
      <c r="E15" s="1">
        <v>0.21870000000000003</v>
      </c>
      <c r="F15">
        <v>0</v>
      </c>
      <c r="G15">
        <v>0</v>
      </c>
      <c r="H15">
        <v>0</v>
      </c>
    </row>
    <row r="16" spans="1:8" x14ac:dyDescent="0.25">
      <c r="D16">
        <v>5</v>
      </c>
      <c r="E16" s="1">
        <v>0.4</v>
      </c>
      <c r="F16">
        <v>0</v>
      </c>
      <c r="G16">
        <v>0</v>
      </c>
      <c r="H16">
        <v>0</v>
      </c>
    </row>
    <row r="17" spans="4:8" x14ac:dyDescent="0.25">
      <c r="D17">
        <v>6</v>
      </c>
      <c r="F17">
        <v>0</v>
      </c>
      <c r="G17">
        <v>0</v>
      </c>
      <c r="H17">
        <v>0</v>
      </c>
    </row>
    <row r="18" spans="4:8" x14ac:dyDescent="0.25">
      <c r="D18">
        <v>7</v>
      </c>
      <c r="F18">
        <v>0</v>
      </c>
      <c r="G18">
        <v>0</v>
      </c>
      <c r="H18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3"/>
  <sheetViews>
    <sheetView workbookViewId="0">
      <selection activeCell="B6" sqref="B6"/>
    </sheetView>
  </sheetViews>
  <sheetFormatPr defaultRowHeight="15.75" x14ac:dyDescent="0.25"/>
  <cols>
    <col min="1" max="1" width="20.125" customWidth="1"/>
  </cols>
  <sheetData>
    <row r="1" spans="1:8" x14ac:dyDescent="0.25">
      <c r="A1" t="s">
        <v>0</v>
      </c>
    </row>
    <row r="2" spans="1:8" x14ac:dyDescent="0.25">
      <c r="A2" t="str">
        <f>'Inputs and Outputs'!A2</f>
        <v>Price of Machine</v>
      </c>
      <c r="B2">
        <f>'Inputs and Outputs'!B2</f>
        <v>1000000</v>
      </c>
    </row>
    <row r="3" spans="1:8" x14ac:dyDescent="0.25">
      <c r="A3" t="str">
        <f>'Inputs and Outputs'!A3</f>
        <v>Loan Life</v>
      </c>
      <c r="B3">
        <f>'Inputs and Outputs'!B3</f>
        <v>5</v>
      </c>
    </row>
    <row r="4" spans="1:8" x14ac:dyDescent="0.25">
      <c r="A4" t="str">
        <f>'Inputs and Outputs'!A7</f>
        <v>Recovery Rate</v>
      </c>
      <c r="B4" s="1">
        <f>'Inputs and Outputs'!B7</f>
        <v>0.4</v>
      </c>
    </row>
    <row r="5" spans="1:8" x14ac:dyDescent="0.25">
      <c r="A5" t="s">
        <v>8</v>
      </c>
      <c r="B5" s="2">
        <f>'Inputs and Outputs'!B8</f>
        <v>0.2</v>
      </c>
    </row>
    <row r="6" spans="1:8" x14ac:dyDescent="0.25">
      <c r="A6" t="s">
        <v>11</v>
      </c>
    </row>
    <row r="8" spans="1:8" x14ac:dyDescent="0.25">
      <c r="A8" t="s">
        <v>7</v>
      </c>
    </row>
    <row r="10" spans="1:8" x14ac:dyDescent="0.25">
      <c r="A10" t="s">
        <v>13</v>
      </c>
      <c r="B10" s="2">
        <f>IRR(H:H)</f>
        <v>-0.26319370027192257</v>
      </c>
    </row>
    <row r="12" spans="1:8" x14ac:dyDescent="0.25">
      <c r="B12" t="s">
        <v>9</v>
      </c>
      <c r="D12" t="str">
        <f t="array" ref="D12:F20">print_table(Default!F10)</f>
        <v>In Default Period</v>
      </c>
      <c r="E12" t="str">
        <v>Repayment Period</v>
      </c>
      <c r="F12" t="str">
        <v>Recovery Period</v>
      </c>
      <c r="H12" t="s">
        <v>12</v>
      </c>
    </row>
    <row r="13" spans="1:8" x14ac:dyDescent="0.25">
      <c r="B13">
        <f t="array" ref="B13:B20">n_years_array(B3)</f>
        <v>0</v>
      </c>
      <c r="D13">
        <v>0</v>
      </c>
      <c r="E13">
        <v>0</v>
      </c>
      <c r="F13">
        <v>0</v>
      </c>
      <c r="H13">
        <f t="array" ref="H13:H20">cash_flows(B2,B5,B4,B3,D13,E13,F13)</f>
        <v>-1000000</v>
      </c>
    </row>
    <row r="14" spans="1:8" x14ac:dyDescent="0.25">
      <c r="B14">
        <v>1</v>
      </c>
      <c r="D14">
        <v>1</v>
      </c>
      <c r="E14">
        <v>0</v>
      </c>
      <c r="F14">
        <v>0</v>
      </c>
      <c r="H14">
        <v>0</v>
      </c>
    </row>
    <row r="15" spans="1:8" x14ac:dyDescent="0.25">
      <c r="B15">
        <v>2</v>
      </c>
      <c r="D15">
        <v>0</v>
      </c>
      <c r="E15">
        <v>0</v>
      </c>
      <c r="F15">
        <v>0</v>
      </c>
      <c r="H15">
        <v>0</v>
      </c>
    </row>
    <row r="16" spans="1:8" x14ac:dyDescent="0.25">
      <c r="B16">
        <v>3</v>
      </c>
      <c r="D16">
        <v>0</v>
      </c>
      <c r="E16">
        <v>0</v>
      </c>
      <c r="F16">
        <v>1</v>
      </c>
      <c r="H16">
        <v>400000</v>
      </c>
    </row>
    <row r="17" spans="2:8" x14ac:dyDescent="0.25">
      <c r="B17">
        <v>4</v>
      </c>
      <c r="D17">
        <v>0</v>
      </c>
      <c r="E17">
        <v>0</v>
      </c>
      <c r="F17">
        <v>0</v>
      </c>
      <c r="H17">
        <v>0</v>
      </c>
    </row>
    <row r="18" spans="2:8" x14ac:dyDescent="0.25">
      <c r="B18">
        <v>5</v>
      </c>
      <c r="D18">
        <v>0</v>
      </c>
      <c r="E18">
        <v>0</v>
      </c>
      <c r="F18">
        <v>0</v>
      </c>
      <c r="H18">
        <v>0</v>
      </c>
    </row>
    <row r="19" spans="2:8" x14ac:dyDescent="0.25">
      <c r="B19">
        <v>6</v>
      </c>
      <c r="D19">
        <v>0</v>
      </c>
      <c r="E19">
        <v>0</v>
      </c>
      <c r="F19">
        <v>0</v>
      </c>
      <c r="H19">
        <v>0</v>
      </c>
    </row>
    <row r="20" spans="2:8" x14ac:dyDescent="0.25">
      <c r="B20">
        <v>7</v>
      </c>
      <c r="D20">
        <v>0</v>
      </c>
      <c r="E20">
        <v>0</v>
      </c>
      <c r="F20">
        <v>0</v>
      </c>
      <c r="H20">
        <v>0</v>
      </c>
    </row>
    <row r="23" spans="2:8" x14ac:dyDescent="0.25">
      <c r="B2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Inputs and Outputs</vt:lpstr>
      <vt:lpstr>Trials</vt:lpstr>
      <vt:lpstr>Default</vt:lpstr>
      <vt:lpstr>Cash Flows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admin</cp:lastModifiedBy>
  <dcterms:created xsi:type="dcterms:W3CDTF">2015-01-25T11:31:25Z</dcterms:created>
  <dcterms:modified xsi:type="dcterms:W3CDTF">2019-11-19T18:55:24Z</dcterms:modified>
</cp:coreProperties>
</file>