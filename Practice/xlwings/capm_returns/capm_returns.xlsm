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ropbox (Personal)\UF\Teaching\Modeling\Me\repos\fin-model-course\Practice\xlwings\capm_returns\"/>
    </mc:Choice>
  </mc:AlternateContent>
  <bookViews>
    <workbookView xWindow="-5370" yWindow="-21150" windowWidth="38400" windowHeight="21150" tabRatio="500" activeTab="1"/>
  </bookViews>
  <sheets>
    <sheet name="Inputs and Asset Returns" sheetId="1" r:id="rId1"/>
    <sheet name="Correlations" sheetId="4" r:id="rId2"/>
  </sheets>
  <functionGroups builtInGroupCount="18">
    <functionGroup name="xlwings"/>
  </functionGroups>
  <calcPr calcId="162913" concurrentCalc="0"/>
  <extLst>
    <ext xmlns:x14="http://schemas.microsoft.com/office/spreadsheetml/2009/9/main" uri="{8193D73E-4604-4355-AFF4-8A2333D13BE4}">
      <x14:definedNames>
        <x14:definedName name="correlations">
          <x14:argumentDescriptions count="1">
            <x14:argumentDescription index="0">Positional argument 1</x14:argumentDescription>
          </x14:argumentDescriptions>
        </x14:definedName>
        <x14:definedName name="multi_capm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n_random_norm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n_random_unif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4" l="1" a="1"/>
  <c r="B3" i="4"/>
  <c r="C3" i="4"/>
  <c r="D3" i="4"/>
  <c r="E3" i="4"/>
  <c r="F3" i="4"/>
  <c r="B4" i="4"/>
  <c r="C4" i="4"/>
  <c r="D4" i="4"/>
  <c r="E4" i="4"/>
  <c r="F4" i="4"/>
  <c r="B5" i="4"/>
  <c r="C5" i="4"/>
  <c r="D5" i="4"/>
  <c r="E5" i="4"/>
  <c r="F5" i="4"/>
  <c r="B6" i="4"/>
  <c r="C6" i="4"/>
  <c r="D6" i="4"/>
  <c r="E6" i="4"/>
  <c r="F6" i="4"/>
  <c r="B7" i="4"/>
  <c r="C7" i="4"/>
  <c r="D7" i="4"/>
  <c r="E7" i="4"/>
  <c r="F7" i="4"/>
  <c r="C11" i="1" a="1"/>
  <c r="C11" i="1"/>
  <c r="D11" i="1"/>
  <c r="E11" i="1"/>
  <c r="C12" i="1" a="1"/>
  <c r="B15" i="1" a="1"/>
  <c r="C12" i="1"/>
  <c r="B15" i="1"/>
  <c r="B16" i="1"/>
  <c r="B17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D12" i="1"/>
  <c r="E12" i="1"/>
  <c r="C14" i="1" a="1"/>
  <c r="C14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D14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</calcChain>
</file>

<file path=xl/sharedStrings.xml><?xml version="1.0" encoding="utf-8"?>
<sst xmlns="http://schemas.openxmlformats.org/spreadsheetml/2006/main" count="10" uniqueCount="10">
  <si>
    <t>Number of Assets</t>
  </si>
  <si>
    <t>Number of Periods</t>
  </si>
  <si>
    <t>Average Idiosyncratic Standard Deviation</t>
  </si>
  <si>
    <t>Market Average Return</t>
  </si>
  <si>
    <t>Market Standard Deviation</t>
  </si>
  <si>
    <t>Risk-Free Rate</t>
  </si>
  <si>
    <t>Market Return</t>
  </si>
  <si>
    <t>Idiosyncratic Stdev</t>
  </si>
  <si>
    <t>Beta</t>
  </si>
  <si>
    <t>Stdev Idiosyncratic 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</si>
</sst>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4"/>
  <sheetViews>
    <sheetView workbookViewId="0">
      <selection activeCell="F3" sqref="F3"/>
    </sheetView>
  </sheetViews>
  <sheetFormatPr defaultColWidth="11" defaultRowHeight="15.75" x14ac:dyDescent="0.25"/>
  <cols>
    <col min="1" max="1" width="34.875" bestFit="1" customWidth="1"/>
    <col min="3" max="5" width="11.375" bestFit="1" customWidth="1"/>
  </cols>
  <sheetData>
    <row r="1" spans="1:5" x14ac:dyDescent="0.25">
      <c r="A1" t="s">
        <v>0</v>
      </c>
      <c r="B1">
        <v>3</v>
      </c>
    </row>
    <row r="2" spans="1:5" x14ac:dyDescent="0.25">
      <c r="A2" t="s">
        <v>1</v>
      </c>
      <c r="B2">
        <v>20</v>
      </c>
    </row>
    <row r="3" spans="1:5" x14ac:dyDescent="0.25">
      <c r="A3" t="s">
        <v>2</v>
      </c>
      <c r="B3" s="1">
        <v>0.2</v>
      </c>
    </row>
    <row r="4" spans="1:5" x14ac:dyDescent="0.25">
      <c r="A4" t="s">
        <v>9</v>
      </c>
      <c r="B4" s="1">
        <v>0.1</v>
      </c>
    </row>
    <row r="5" spans="1:5" x14ac:dyDescent="0.25">
      <c r="A5" t="s">
        <v>3</v>
      </c>
      <c r="B5" s="1">
        <v>7.0000000000000007E-2</v>
      </c>
    </row>
    <row r="6" spans="1:5" x14ac:dyDescent="0.25">
      <c r="A6" t="s">
        <v>4</v>
      </c>
      <c r="B6" s="1">
        <v>0.15</v>
      </c>
    </row>
    <row r="7" spans="1:5" x14ac:dyDescent="0.25">
      <c r="A7" t="s">
        <v>5</v>
      </c>
      <c r="B7" s="1">
        <v>0.02</v>
      </c>
    </row>
    <row r="11" spans="1:5" x14ac:dyDescent="0.25">
      <c r="A11" t="s">
        <v>7</v>
      </c>
      <c r="C11">
        <f t="array" ref="C11:E11">n_random_normal(B3,B4,B1,1)</f>
        <v>0.22425114520840947</v>
      </c>
      <c r="D11">
        <v>0.2922296438747386</v>
      </c>
      <c r="E11">
        <v>0.15092132789581209</v>
      </c>
    </row>
    <row r="12" spans="1:5" x14ac:dyDescent="0.25">
      <c r="A12" t="s">
        <v>8</v>
      </c>
      <c r="C12" s="2">
        <f t="array" ref="C12:E12">n_random_uniform(0,2,B1)</f>
        <v>0.78300579268491211</v>
      </c>
      <c r="D12" s="2">
        <v>1.7925927143480884</v>
      </c>
      <c r="E12" s="2">
        <v>1.9855047062503708</v>
      </c>
    </row>
    <row r="14" spans="1:5" x14ac:dyDescent="0.25">
      <c r="B14" t="s">
        <v>6</v>
      </c>
      <c r="C14" t="str">
        <f t="array" ref="C14:E34">multi_capm(B7,C12,B15,C11,B1)</f>
        <v>Asset 1</v>
      </c>
      <c r="D14" t="str">
        <v>Asset 2</v>
      </c>
      <c r="E14" t="str">
        <v>Asset 3</v>
      </c>
    </row>
    <row r="15" spans="1:5" x14ac:dyDescent="0.25">
      <c r="B15">
        <f t="array" ref="B15:B34">n_random_normal(B5,B6,B2)</f>
        <v>8.3551019519659625E-2</v>
      </c>
      <c r="C15">
        <v>0.36378750864654952</v>
      </c>
      <c r="D15">
        <v>-1.6389036277225655E-4</v>
      </c>
      <c r="E15">
        <v>6.0897324313882256E-2</v>
      </c>
    </row>
    <row r="16" spans="1:5" x14ac:dyDescent="0.25">
      <c r="B16">
        <v>0.21267595427520392</v>
      </c>
      <c r="C16">
        <v>0.16378334612808926</v>
      </c>
      <c r="D16">
        <v>1.4516617357457018E-2</v>
      </c>
      <c r="E16">
        <v>0.24599301058356929</v>
      </c>
    </row>
    <row r="17" spans="2:5" x14ac:dyDescent="0.25">
      <c r="B17">
        <v>4.0560236814416964E-2</v>
      </c>
      <c r="C17">
        <v>-0.33536919418261579</v>
      </c>
      <c r="D17">
        <v>0.30585014947657552</v>
      </c>
      <c r="E17">
        <v>0.11182459591728715</v>
      </c>
    </row>
    <row r="18" spans="2:5" x14ac:dyDescent="0.25">
      <c r="B18">
        <v>0.18989085186748855</v>
      </c>
      <c r="C18">
        <v>0.10241452259880557</v>
      </c>
      <c r="D18">
        <v>0.55104020173343571</v>
      </c>
      <c r="E18">
        <v>0.57489095403562107</v>
      </c>
    </row>
    <row r="19" spans="2:5" x14ac:dyDescent="0.25">
      <c r="B19">
        <v>0.4149840276972972</v>
      </c>
      <c r="C19">
        <v>0.27068631651379998</v>
      </c>
      <c r="D19">
        <v>0.64527964334594012</v>
      </c>
      <c r="E19">
        <v>0.74198614585379485</v>
      </c>
    </row>
    <row r="20" spans="2:5" x14ac:dyDescent="0.25">
      <c r="B20">
        <v>2.2876650820931078E-2</v>
      </c>
      <c r="C20">
        <v>-0.14106439656237055</v>
      </c>
      <c r="D20">
        <v>0.44844277578235636</v>
      </c>
      <c r="E20">
        <v>-8.1840064309995991E-2</v>
      </c>
    </row>
    <row r="21" spans="2:5" x14ac:dyDescent="0.25">
      <c r="B21">
        <v>0.14574866445546852</v>
      </c>
      <c r="C21">
        <v>-0.6155819299076899</v>
      </c>
      <c r="D21">
        <v>-0.22192434225821256</v>
      </c>
      <c r="E21">
        <v>0.38618547493908095</v>
      </c>
    </row>
    <row r="22" spans="2:5" x14ac:dyDescent="0.25">
      <c r="B22">
        <v>-0.21729358833536594</v>
      </c>
      <c r="C22">
        <v>-0.15809322191852679</v>
      </c>
      <c r="D22">
        <v>0.26506864569462779</v>
      </c>
      <c r="E22">
        <v>-0.2608637618373652</v>
      </c>
    </row>
    <row r="23" spans="2:5" x14ac:dyDescent="0.25">
      <c r="B23">
        <v>0.20446063302022821</v>
      </c>
      <c r="C23">
        <v>0.34199220540721775</v>
      </c>
      <c r="D23">
        <v>0.13483973747670824</v>
      </c>
      <c r="E23">
        <v>0.39729433257688362</v>
      </c>
    </row>
    <row r="24" spans="2:5" x14ac:dyDescent="0.25">
      <c r="B24">
        <v>0.37557807763198658</v>
      </c>
      <c r="C24">
        <v>-0.15083014088622304</v>
      </c>
      <c r="D24">
        <v>0.62070064762310029</v>
      </c>
      <c r="E24">
        <v>0.64548753071764942</v>
      </c>
    </row>
    <row r="25" spans="2:5" x14ac:dyDescent="0.25">
      <c r="B25">
        <v>6.4263958905113272E-2</v>
      </c>
      <c r="C25">
        <v>0.28812602520247849</v>
      </c>
      <c r="D25">
        <v>-0.3019367559625592</v>
      </c>
      <c r="E25">
        <v>0.17967991933188746</v>
      </c>
    </row>
    <row r="26" spans="2:5" x14ac:dyDescent="0.25">
      <c r="B26">
        <v>7.8418903323773798E-2</v>
      </c>
      <c r="C26">
        <v>-1.5486256232881274E-3</v>
      </c>
      <c r="D26">
        <v>0.7585835064085753</v>
      </c>
      <c r="E26">
        <v>0.19616723724584123</v>
      </c>
    </row>
    <row r="27" spans="2:5" x14ac:dyDescent="0.25">
      <c r="B27">
        <v>-0.22285562585025548</v>
      </c>
      <c r="C27">
        <v>-0.33414140640163942</v>
      </c>
      <c r="D27">
        <v>-0.87039091548007619</v>
      </c>
      <c r="E27">
        <v>-0.42069940506675002</v>
      </c>
    </row>
    <row r="28" spans="2:5" x14ac:dyDescent="0.25">
      <c r="B28">
        <v>5.1454389075221069E-2</v>
      </c>
      <c r="C28">
        <v>0.44347021174859386</v>
      </c>
      <c r="D28">
        <v>0.108452529778161</v>
      </c>
      <c r="E28">
        <v>0.26380801538765025</v>
      </c>
    </row>
    <row r="29" spans="2:5" x14ac:dyDescent="0.25">
      <c r="B29">
        <v>0.20394507100477086</v>
      </c>
      <c r="C29">
        <v>6.9719965861651537E-2</v>
      </c>
      <c r="D29">
        <v>-0.41300592001451958</v>
      </c>
      <c r="E29">
        <v>0.38385147389082347</v>
      </c>
    </row>
    <row r="30" spans="2:5" x14ac:dyDescent="0.25">
      <c r="B30">
        <v>7.1060505543278918E-2</v>
      </c>
      <c r="C30">
        <v>-2.4387226477558005E-2</v>
      </c>
      <c r="D30">
        <v>-0.14571528518738658</v>
      </c>
      <c r="E30">
        <v>-0.1111591098401449</v>
      </c>
    </row>
    <row r="31" spans="2:5" x14ac:dyDescent="0.25">
      <c r="B31">
        <v>8.1783424967587282E-2</v>
      </c>
      <c r="C31">
        <v>0.30597296346277647</v>
      </c>
      <c r="D31">
        <v>9.9900135097275786E-2</v>
      </c>
      <c r="E31">
        <v>0.40749859049006676</v>
      </c>
    </row>
    <row r="32" spans="2:5" x14ac:dyDescent="0.25">
      <c r="B32">
        <v>-1.8720294770400311E-2</v>
      </c>
      <c r="C32">
        <v>-1.8033842361582838E-2</v>
      </c>
      <c r="D32">
        <v>-3.3334681006344999E-2</v>
      </c>
      <c r="E32">
        <v>-0.21200755280443007</v>
      </c>
    </row>
    <row r="33" spans="2:5" x14ac:dyDescent="0.25">
      <c r="B33">
        <v>0.36601725527354401</v>
      </c>
      <c r="C33">
        <v>0.59608032555737389</v>
      </c>
      <c r="D33">
        <v>0.52810334571710948</v>
      </c>
      <c r="E33">
        <v>0.44985334502617752</v>
      </c>
    </row>
    <row r="34" spans="2:5" x14ac:dyDescent="0.25">
      <c r="B34">
        <v>2.9022794252356487E-2</v>
      </c>
      <c r="C34">
        <v>-0.17348929960807477</v>
      </c>
      <c r="D34">
        <v>8.914605873244566E-2</v>
      </c>
      <c r="E34">
        <v>4.4618494672036629E-2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F7"/>
  <sheetViews>
    <sheetView tabSelected="1" workbookViewId="0">
      <selection activeCell="B4" sqref="B4"/>
    </sheetView>
  </sheetViews>
  <sheetFormatPr defaultRowHeight="15.75" x14ac:dyDescent="0.25"/>
  <sheetData>
    <row r="3" spans="2:6" x14ac:dyDescent="0.25">
      <c r="B3" t="str">
        <f t="array" ref="B3:F7">correlations('Inputs and Asset Returns'!B14)</f>
        <v/>
      </c>
      <c r="C3" t="str">
        <v>Market Return</v>
      </c>
      <c r="D3" t="str">
        <v>Asset 1</v>
      </c>
      <c r="E3" t="str">
        <v>Asset 2</v>
      </c>
      <c r="F3" t="str">
        <v>Asset 3</v>
      </c>
    </row>
    <row r="4" spans="2:6" x14ac:dyDescent="0.25">
      <c r="B4" t="str">
        <v>Market Return</v>
      </c>
      <c r="C4">
        <v>1</v>
      </c>
      <c r="D4">
        <v>0.41307880249521428</v>
      </c>
      <c r="E4">
        <v>0.49580714889656219</v>
      </c>
      <c r="F4">
        <v>0.89695070367077401</v>
      </c>
    </row>
    <row r="5" spans="2:6" x14ac:dyDescent="0.25">
      <c r="B5" t="str">
        <v>Asset 1</v>
      </c>
      <c r="C5">
        <v>0.41307880249521428</v>
      </c>
      <c r="D5">
        <v>1</v>
      </c>
      <c r="E5">
        <v>0.23207316611047482</v>
      </c>
      <c r="F5">
        <v>0.37131251712143232</v>
      </c>
    </row>
    <row r="6" spans="2:6" x14ac:dyDescent="0.25">
      <c r="B6" t="str">
        <v>Asset 2</v>
      </c>
      <c r="C6">
        <v>0.49580714889656219</v>
      </c>
      <c r="D6">
        <v>0.23207316611047482</v>
      </c>
      <c r="E6">
        <v>1</v>
      </c>
      <c r="F6">
        <v>0.5053991550636977</v>
      </c>
    </row>
    <row r="7" spans="2:6" x14ac:dyDescent="0.25">
      <c r="B7" t="str">
        <v>Asset 3</v>
      </c>
      <c r="C7">
        <v>0.89695070367077401</v>
      </c>
      <c r="D7">
        <v>0.37131251712143232</v>
      </c>
      <c r="E7">
        <v>0.5053991550636977</v>
      </c>
      <c r="F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 and Asset Returns</vt:lpstr>
      <vt:lpstr>Correlations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DeRobertis,Nicholas A</cp:lastModifiedBy>
  <dcterms:created xsi:type="dcterms:W3CDTF">2015-01-25T11:31:25Z</dcterms:created>
  <dcterms:modified xsi:type="dcterms:W3CDTF">2019-10-23T23:15:46Z</dcterms:modified>
</cp:coreProperties>
</file>